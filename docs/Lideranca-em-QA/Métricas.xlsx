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odelimas/Documents/Mentoria 2.0/Materiais/"/>
    </mc:Choice>
  </mc:AlternateContent>
  <xr:revisionPtr revIDLastSave="0" documentId="13_ncr:1_{3D9DE187-E67A-BC41-89CB-E7F9408BACE0}" xr6:coauthVersionLast="47" xr6:coauthVersionMax="47" xr10:uidLastSave="{00000000-0000-0000-0000-000000000000}"/>
  <bookViews>
    <workbookView xWindow="8440" yWindow="2800" windowWidth="15580" windowHeight="15440" firstSheet="3" activeTab="6" xr2:uid="{B56585F5-6E56-D94C-B743-44A39D837FFA}"/>
  </bookViews>
  <sheets>
    <sheet name="Bugs em Prod" sheetId="1" r:id="rId1"/>
    <sheet name="Taxa de Reteste" sheetId="2" r:id="rId2"/>
    <sheet name="Custo dos Bugs" sheetId="3" r:id="rId3"/>
    <sheet name="Cobertura de Automação" sheetId="4" r:id="rId4"/>
    <sheet name="Cobertura de Testes de US" sheetId="5" r:id="rId5"/>
    <sheet name="QR" sheetId="6" r:id="rId6"/>
    <sheet name="Tempo de Correção" sheetId="7" r:id="rId7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E3" i="7"/>
  <c r="E4" i="7"/>
  <c r="E2" i="7"/>
  <c r="E3" i="6"/>
  <c r="E2" i="6"/>
  <c r="D6" i="5"/>
  <c r="E4" i="5"/>
  <c r="E3" i="5"/>
  <c r="E2" i="5"/>
  <c r="C15" i="4"/>
  <c r="C14" i="4"/>
  <c r="C13" i="4"/>
  <c r="K3" i="3"/>
  <c r="J3" i="3"/>
  <c r="I3" i="3"/>
  <c r="H3" i="3"/>
  <c r="C15" i="2"/>
  <c r="C14" i="2"/>
  <c r="C13" i="2"/>
  <c r="D3" i="2"/>
  <c r="D4" i="2"/>
  <c r="D5" i="2"/>
  <c r="D6" i="2"/>
  <c r="D7" i="2"/>
  <c r="D8" i="2"/>
  <c r="D9" i="2"/>
  <c r="D10" i="2"/>
  <c r="D11" i="2"/>
  <c r="D2" i="2"/>
  <c r="C16" i="1"/>
  <c r="C15" i="1"/>
  <c r="C14" i="1"/>
</calcChain>
</file>

<file path=xl/sharedStrings.xml><?xml version="1.0" encoding="utf-8"?>
<sst xmlns="http://schemas.openxmlformats.org/spreadsheetml/2006/main" count="144" uniqueCount="71">
  <si>
    <t>ID</t>
  </si>
  <si>
    <t xml:space="preserve">Titulo </t>
  </si>
  <si>
    <t>Ambiente</t>
  </si>
  <si>
    <t>Falhou A</t>
  </si>
  <si>
    <t>Falhou B</t>
  </si>
  <si>
    <t>Falhou C</t>
  </si>
  <si>
    <t>Falhou D</t>
  </si>
  <si>
    <t>Falhou F</t>
  </si>
  <si>
    <t>Falhou G</t>
  </si>
  <si>
    <t>Falhou H</t>
  </si>
  <si>
    <t>Falhou I</t>
  </si>
  <si>
    <t>Falhou J</t>
  </si>
  <si>
    <t>Falhou E</t>
  </si>
  <si>
    <t>Dev</t>
  </si>
  <si>
    <t>QA</t>
  </si>
  <si>
    <t>UAT</t>
  </si>
  <si>
    <t>Prod</t>
  </si>
  <si>
    <t>Defeitos Encontrados</t>
  </si>
  <si>
    <t>Defeitos em Prod</t>
  </si>
  <si>
    <t>Métrica</t>
  </si>
  <si>
    <t>Caso de Teste</t>
  </si>
  <si>
    <t>Quantidade de Execuções</t>
  </si>
  <si>
    <t>Caso de Teste do Cenário 1</t>
  </si>
  <si>
    <t>Caso de Teste do Cenário 2</t>
  </si>
  <si>
    <t>Caso de Teste do Cenário 3</t>
  </si>
  <si>
    <t>Caso de Teste do Cenário 4</t>
  </si>
  <si>
    <t>Caso de Teste do Cenário 5</t>
  </si>
  <si>
    <t>Caso de Teste do Cenário 6</t>
  </si>
  <si>
    <t>Caso de Teste do Cenário 7</t>
  </si>
  <si>
    <t>Caso de Teste do Cenário 8</t>
  </si>
  <si>
    <t>Caso de Teste do Cenário 9</t>
  </si>
  <si>
    <t>Caso de Teste do Cenário 10</t>
  </si>
  <si>
    <t>Execuções Adicionais</t>
  </si>
  <si>
    <t>Quantidade de Execuções Adicionais</t>
  </si>
  <si>
    <t>Novo</t>
  </si>
  <si>
    <t>Triagem</t>
  </si>
  <si>
    <t>Em progresso</t>
  </si>
  <si>
    <t>Reteste</t>
  </si>
  <si>
    <t xml:space="preserve">Concluído </t>
  </si>
  <si>
    <t>Devops</t>
  </si>
  <si>
    <t>Custo</t>
  </si>
  <si>
    <t>Total</t>
  </si>
  <si>
    <t>Deve Automatizar</t>
  </si>
  <si>
    <t>Sim</t>
  </si>
  <si>
    <t>Não</t>
  </si>
  <si>
    <t>Já automatizou</t>
  </si>
  <si>
    <t>N/A</t>
  </si>
  <si>
    <t>Escopo de Automação</t>
  </si>
  <si>
    <t>Já automatizados</t>
  </si>
  <si>
    <t>User Story</t>
  </si>
  <si>
    <t>JIRA-7667</t>
  </si>
  <si>
    <t>Casos de Teste Planejados</t>
  </si>
  <si>
    <t>JIRA-7668</t>
  </si>
  <si>
    <t>JIRA-7669</t>
  </si>
  <si>
    <t>Casos de Teste Executados</t>
  </si>
  <si>
    <t>Cobertura de Testes</t>
  </si>
  <si>
    <t>Cobertura de Testes Geral</t>
  </si>
  <si>
    <t>P1</t>
  </si>
  <si>
    <t>Nome da Release</t>
  </si>
  <si>
    <t>Casos de Teste Falhos</t>
  </si>
  <si>
    <t>Release 1.1.0 1/7/2025</t>
  </si>
  <si>
    <t>Release 1.2.0 3/7/2025</t>
  </si>
  <si>
    <t>Variáveis</t>
  </si>
  <si>
    <t>P2</t>
  </si>
  <si>
    <t>QA1</t>
  </si>
  <si>
    <t>QA2</t>
  </si>
  <si>
    <t>Qualidade da Release</t>
  </si>
  <si>
    <t>Data e Hora da Abertura</t>
  </si>
  <si>
    <t>Data e Hora do Fechamento Defeito</t>
  </si>
  <si>
    <t>Diferença</t>
  </si>
  <si>
    <t>TMDCF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</si>
</sst>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9" fontId="0" fillId="0" borderId="0" xfId="2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2" applyFont="1" applyAlignment="1"/>
    <xf numFmtId="2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8677-1919-D640-8C1E-8C6350AE91DA}">
  <dimension ref="A1:C16"/>
  <sheetViews>
    <sheetView zoomScale="160" zoomScaleNormal="160" workbookViewId="0">
      <selection sqref="A1:B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13</v>
      </c>
    </row>
    <row r="3" spans="1:3" x14ac:dyDescent="0.2">
      <c r="A3">
        <v>2</v>
      </c>
      <c r="B3" t="s">
        <v>4</v>
      </c>
      <c r="C3" t="s">
        <v>14</v>
      </c>
    </row>
    <row r="4" spans="1:3" x14ac:dyDescent="0.2">
      <c r="A4">
        <v>3</v>
      </c>
      <c r="B4" t="s">
        <v>5</v>
      </c>
      <c r="C4" t="s">
        <v>14</v>
      </c>
    </row>
    <row r="5" spans="1:3" x14ac:dyDescent="0.2">
      <c r="A5">
        <v>4</v>
      </c>
      <c r="B5" t="s">
        <v>6</v>
      </c>
      <c r="C5" t="s">
        <v>14</v>
      </c>
    </row>
    <row r="6" spans="1:3" x14ac:dyDescent="0.2">
      <c r="A6">
        <v>5</v>
      </c>
      <c r="B6" t="s">
        <v>12</v>
      </c>
      <c r="C6" t="s">
        <v>14</v>
      </c>
    </row>
    <row r="7" spans="1:3" x14ac:dyDescent="0.2">
      <c r="A7">
        <v>6</v>
      </c>
      <c r="B7" t="s">
        <v>7</v>
      </c>
      <c r="C7" t="s">
        <v>15</v>
      </c>
    </row>
    <row r="8" spans="1:3" x14ac:dyDescent="0.2">
      <c r="A8">
        <v>7</v>
      </c>
      <c r="B8" t="s">
        <v>8</v>
      </c>
      <c r="C8" t="s">
        <v>16</v>
      </c>
    </row>
    <row r="9" spans="1:3" x14ac:dyDescent="0.2">
      <c r="A9">
        <v>8</v>
      </c>
      <c r="B9" t="s">
        <v>9</v>
      </c>
      <c r="C9" t="s">
        <v>16</v>
      </c>
    </row>
    <row r="10" spans="1:3" x14ac:dyDescent="0.2">
      <c r="A10">
        <v>9</v>
      </c>
      <c r="B10" t="s">
        <v>10</v>
      </c>
      <c r="C10" t="s">
        <v>16</v>
      </c>
    </row>
    <row r="11" spans="1:3" x14ac:dyDescent="0.2">
      <c r="A11">
        <v>10</v>
      </c>
      <c r="B11" t="s">
        <v>11</v>
      </c>
      <c r="C11" t="s">
        <v>16</v>
      </c>
    </row>
    <row r="14" spans="1:3" x14ac:dyDescent="0.2">
      <c r="B14" s="1" t="s">
        <v>17</v>
      </c>
      <c r="C14">
        <f>COUNTA(C2:C11)</f>
        <v>10</v>
      </c>
    </row>
    <row r="15" spans="1:3" x14ac:dyDescent="0.2">
      <c r="B15" s="1" t="s">
        <v>18</v>
      </c>
      <c r="C15">
        <f>COUNTIF(C2:C11, "Prod")</f>
        <v>4</v>
      </c>
    </row>
    <row r="16" spans="1:3" x14ac:dyDescent="0.2">
      <c r="B16" s="2" t="s">
        <v>19</v>
      </c>
      <c r="C16" s="3">
        <f>C15/C14</f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2987-9FB2-1B45-AEE0-B4385344674A}">
  <dimension ref="A1:D15"/>
  <sheetViews>
    <sheetView zoomScale="140" zoomScaleNormal="140" workbookViewId="0">
      <selection activeCell="C15" sqref="C15"/>
    </sheetView>
  </sheetViews>
  <sheetFormatPr baseColWidth="10" defaultRowHeight="16" x14ac:dyDescent="0.2"/>
  <cols>
    <col min="1" max="1" width="7.1640625" style="4" customWidth="1"/>
    <col min="2" max="2" width="27.33203125" customWidth="1"/>
    <col min="3" max="3" width="23.5" customWidth="1"/>
    <col min="4" max="4" width="19.6640625" customWidth="1"/>
  </cols>
  <sheetData>
    <row r="1" spans="1:4" s="6" customFormat="1" x14ac:dyDescent="0.2">
      <c r="A1" s="5" t="s">
        <v>0</v>
      </c>
      <c r="B1" s="6" t="s">
        <v>20</v>
      </c>
      <c r="C1" s="6" t="s">
        <v>21</v>
      </c>
      <c r="D1" s="6" t="s">
        <v>32</v>
      </c>
    </row>
    <row r="2" spans="1:4" x14ac:dyDescent="0.2">
      <c r="A2" s="4">
        <v>1</v>
      </c>
      <c r="B2" t="s">
        <v>22</v>
      </c>
      <c r="C2">
        <v>1</v>
      </c>
      <c r="D2">
        <f>C2-1</f>
        <v>0</v>
      </c>
    </row>
    <row r="3" spans="1:4" x14ac:dyDescent="0.2">
      <c r="A3" s="4">
        <v>2</v>
      </c>
      <c r="B3" t="s">
        <v>23</v>
      </c>
      <c r="C3">
        <v>1</v>
      </c>
      <c r="D3">
        <f t="shared" ref="D3:D11" si="0">C3-1</f>
        <v>0</v>
      </c>
    </row>
    <row r="4" spans="1:4" x14ac:dyDescent="0.2">
      <c r="A4" s="4">
        <v>3</v>
      </c>
      <c r="B4" t="s">
        <v>24</v>
      </c>
      <c r="C4">
        <v>1</v>
      </c>
      <c r="D4">
        <f t="shared" si="0"/>
        <v>0</v>
      </c>
    </row>
    <row r="5" spans="1:4" x14ac:dyDescent="0.2">
      <c r="A5" s="4">
        <v>4</v>
      </c>
      <c r="B5" t="s">
        <v>25</v>
      </c>
      <c r="C5">
        <v>1</v>
      </c>
      <c r="D5">
        <f t="shared" si="0"/>
        <v>0</v>
      </c>
    </row>
    <row r="6" spans="1:4" x14ac:dyDescent="0.2">
      <c r="A6" s="4">
        <v>5</v>
      </c>
      <c r="B6" t="s">
        <v>26</v>
      </c>
      <c r="C6">
        <v>3</v>
      </c>
      <c r="D6">
        <f t="shared" si="0"/>
        <v>2</v>
      </c>
    </row>
    <row r="7" spans="1:4" x14ac:dyDescent="0.2">
      <c r="A7" s="4">
        <v>6</v>
      </c>
      <c r="B7" t="s">
        <v>27</v>
      </c>
      <c r="C7">
        <v>1</v>
      </c>
      <c r="D7">
        <f t="shared" si="0"/>
        <v>0</v>
      </c>
    </row>
    <row r="8" spans="1:4" x14ac:dyDescent="0.2">
      <c r="A8" s="4">
        <v>7</v>
      </c>
      <c r="B8" t="s">
        <v>28</v>
      </c>
      <c r="C8">
        <v>2</v>
      </c>
      <c r="D8">
        <f t="shared" si="0"/>
        <v>1</v>
      </c>
    </row>
    <row r="9" spans="1:4" x14ac:dyDescent="0.2">
      <c r="A9" s="4">
        <v>8</v>
      </c>
      <c r="B9" t="s">
        <v>29</v>
      </c>
      <c r="C9">
        <v>1</v>
      </c>
      <c r="D9">
        <f t="shared" si="0"/>
        <v>0</v>
      </c>
    </row>
    <row r="10" spans="1:4" x14ac:dyDescent="0.2">
      <c r="A10" s="4">
        <v>9</v>
      </c>
      <c r="B10" t="s">
        <v>30</v>
      </c>
      <c r="C10">
        <v>5</v>
      </c>
      <c r="D10">
        <f t="shared" si="0"/>
        <v>4</v>
      </c>
    </row>
    <row r="11" spans="1:4" x14ac:dyDescent="0.2">
      <c r="A11" s="4">
        <v>10</v>
      </c>
      <c r="B11" t="s">
        <v>31</v>
      </c>
      <c r="C11">
        <v>2</v>
      </c>
      <c r="D11">
        <f t="shared" si="0"/>
        <v>1</v>
      </c>
    </row>
    <row r="13" spans="1:4" x14ac:dyDescent="0.2">
      <c r="B13" s="1" t="s">
        <v>21</v>
      </c>
      <c r="C13">
        <f>SUM(C2:C11)</f>
        <v>18</v>
      </c>
    </row>
    <row r="14" spans="1:4" x14ac:dyDescent="0.2">
      <c r="B14" s="1" t="s">
        <v>33</v>
      </c>
      <c r="C14">
        <f>SUM(D2:D11)</f>
        <v>8</v>
      </c>
    </row>
    <row r="15" spans="1:4" x14ac:dyDescent="0.2">
      <c r="B15" s="2" t="s">
        <v>19</v>
      </c>
      <c r="C15" s="3">
        <f>C14/C13</f>
        <v>0.44444444444444442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77A4-05CA-5C4A-B25C-AF33E7A5DA7F}">
  <dimension ref="A1:K17"/>
  <sheetViews>
    <sheetView zoomScale="160" zoomScaleNormal="160" workbookViewId="0">
      <selection activeCell="D7" sqref="D7"/>
    </sheetView>
  </sheetViews>
  <sheetFormatPr baseColWidth="10" defaultRowHeight="16" x14ac:dyDescent="0.2"/>
  <cols>
    <col min="5" max="5" width="13.5" customWidth="1"/>
  </cols>
  <sheetData>
    <row r="1" spans="1:11" x14ac:dyDescent="0.2"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40</v>
      </c>
    </row>
    <row r="2" spans="1:11" x14ac:dyDescent="0.2">
      <c r="A2" t="s">
        <v>0</v>
      </c>
      <c r="B2" t="s">
        <v>1</v>
      </c>
      <c r="C2" t="s">
        <v>14</v>
      </c>
      <c r="D2" t="s">
        <v>13</v>
      </c>
      <c r="E2" t="s">
        <v>13</v>
      </c>
      <c r="F2" t="s">
        <v>14</v>
      </c>
      <c r="G2" t="s">
        <v>39</v>
      </c>
      <c r="H2" t="s">
        <v>13</v>
      </c>
      <c r="I2" t="s">
        <v>14</v>
      </c>
      <c r="J2" t="s">
        <v>39</v>
      </c>
      <c r="K2" t="s">
        <v>41</v>
      </c>
    </row>
    <row r="3" spans="1:11" x14ac:dyDescent="0.2">
      <c r="A3">
        <v>1</v>
      </c>
      <c r="B3" t="s">
        <v>3</v>
      </c>
      <c r="C3">
        <v>1</v>
      </c>
      <c r="D3">
        <v>6</v>
      </c>
      <c r="E3">
        <v>8</v>
      </c>
      <c r="F3">
        <v>3</v>
      </c>
      <c r="G3">
        <v>1</v>
      </c>
      <c r="H3" s="9">
        <f>D3+E3*C14</f>
        <v>406</v>
      </c>
      <c r="I3" s="9">
        <f>C3+F3*C15</f>
        <v>166</v>
      </c>
      <c r="J3" s="9">
        <f>G3*C16</f>
        <v>49</v>
      </c>
      <c r="K3" s="9">
        <f>SUM(H3:J3)</f>
        <v>621</v>
      </c>
    </row>
    <row r="4" spans="1:11" x14ac:dyDescent="0.2">
      <c r="A4">
        <v>2</v>
      </c>
      <c r="B4" t="s">
        <v>4</v>
      </c>
    </row>
    <row r="5" spans="1:11" x14ac:dyDescent="0.2">
      <c r="A5">
        <v>3</v>
      </c>
      <c r="B5" t="s">
        <v>5</v>
      </c>
    </row>
    <row r="6" spans="1:11" x14ac:dyDescent="0.2">
      <c r="A6">
        <v>4</v>
      </c>
      <c r="B6" t="s">
        <v>6</v>
      </c>
    </row>
    <row r="7" spans="1:11" x14ac:dyDescent="0.2">
      <c r="A7">
        <v>5</v>
      </c>
      <c r="B7" t="s">
        <v>12</v>
      </c>
    </row>
    <row r="8" spans="1:11" x14ac:dyDescent="0.2">
      <c r="A8">
        <v>6</v>
      </c>
      <c r="B8" t="s">
        <v>7</v>
      </c>
    </row>
    <row r="9" spans="1:11" x14ac:dyDescent="0.2">
      <c r="A9">
        <v>7</v>
      </c>
      <c r="B9" t="s">
        <v>8</v>
      </c>
    </row>
    <row r="10" spans="1:11" x14ac:dyDescent="0.2">
      <c r="A10">
        <v>8</v>
      </c>
      <c r="B10" t="s">
        <v>9</v>
      </c>
    </row>
    <row r="11" spans="1:11" x14ac:dyDescent="0.2">
      <c r="A11">
        <v>9</v>
      </c>
      <c r="B11" t="s">
        <v>10</v>
      </c>
    </row>
    <row r="12" spans="1:11" x14ac:dyDescent="0.2">
      <c r="A12">
        <v>10</v>
      </c>
      <c r="B12" t="s">
        <v>11</v>
      </c>
    </row>
    <row r="14" spans="1:11" x14ac:dyDescent="0.2">
      <c r="B14" s="4" t="s">
        <v>13</v>
      </c>
      <c r="C14" s="8">
        <v>50</v>
      </c>
    </row>
    <row r="15" spans="1:11" x14ac:dyDescent="0.2">
      <c r="B15" s="4" t="s">
        <v>14</v>
      </c>
      <c r="C15" s="8">
        <v>55</v>
      </c>
    </row>
    <row r="16" spans="1:11" x14ac:dyDescent="0.2">
      <c r="B16" s="1" t="s">
        <v>39</v>
      </c>
      <c r="C16" s="7">
        <v>49</v>
      </c>
    </row>
    <row r="17" spans="2:2" x14ac:dyDescent="0.2">
      <c r="B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2127-4767-1B47-8ED4-BCBB0F48AF74}">
  <dimension ref="A1:D15"/>
  <sheetViews>
    <sheetView zoomScale="140" zoomScaleNormal="140" workbookViewId="0">
      <selection activeCell="C18" sqref="C18"/>
    </sheetView>
  </sheetViews>
  <sheetFormatPr baseColWidth="10" defaultRowHeight="16" x14ac:dyDescent="0.2"/>
  <cols>
    <col min="1" max="1" width="7.1640625" style="4" customWidth="1"/>
    <col min="2" max="2" width="27.33203125" customWidth="1"/>
    <col min="3" max="3" width="18.6640625" customWidth="1"/>
    <col min="4" max="4" width="19.6640625" customWidth="1"/>
  </cols>
  <sheetData>
    <row r="1" spans="1:4" s="6" customFormat="1" x14ac:dyDescent="0.2">
      <c r="A1" s="5" t="s">
        <v>0</v>
      </c>
      <c r="B1" s="6" t="s">
        <v>20</v>
      </c>
      <c r="C1" s="6" t="s">
        <v>42</v>
      </c>
      <c r="D1" s="6" t="s">
        <v>45</v>
      </c>
    </row>
    <row r="2" spans="1:4" x14ac:dyDescent="0.2">
      <c r="A2" s="4">
        <v>1</v>
      </c>
      <c r="B2" t="s">
        <v>22</v>
      </c>
      <c r="C2" t="s">
        <v>43</v>
      </c>
      <c r="D2" t="s">
        <v>44</v>
      </c>
    </row>
    <row r="3" spans="1:4" x14ac:dyDescent="0.2">
      <c r="A3" s="4">
        <v>2</v>
      </c>
      <c r="B3" t="s">
        <v>23</v>
      </c>
      <c r="C3" t="s">
        <v>43</v>
      </c>
      <c r="D3" t="s">
        <v>43</v>
      </c>
    </row>
    <row r="4" spans="1:4" x14ac:dyDescent="0.2">
      <c r="A4" s="4">
        <v>3</v>
      </c>
      <c r="B4" t="s">
        <v>24</v>
      </c>
      <c r="C4" t="s">
        <v>43</v>
      </c>
      <c r="D4" t="s">
        <v>43</v>
      </c>
    </row>
    <row r="5" spans="1:4" x14ac:dyDescent="0.2">
      <c r="A5" s="4">
        <v>4</v>
      </c>
      <c r="B5" t="s">
        <v>25</v>
      </c>
      <c r="C5" t="s">
        <v>44</v>
      </c>
      <c r="D5" t="s">
        <v>46</v>
      </c>
    </row>
    <row r="6" spans="1:4" x14ac:dyDescent="0.2">
      <c r="A6" s="4">
        <v>5</v>
      </c>
      <c r="B6" t="s">
        <v>26</v>
      </c>
      <c r="C6" t="s">
        <v>44</v>
      </c>
      <c r="D6" t="s">
        <v>46</v>
      </c>
    </row>
    <row r="7" spans="1:4" x14ac:dyDescent="0.2">
      <c r="A7" s="4">
        <v>6</v>
      </c>
      <c r="B7" t="s">
        <v>27</v>
      </c>
      <c r="C7" t="s">
        <v>43</v>
      </c>
      <c r="D7" t="s">
        <v>44</v>
      </c>
    </row>
    <row r="8" spans="1:4" x14ac:dyDescent="0.2">
      <c r="A8" s="4">
        <v>7</v>
      </c>
      <c r="B8" t="s">
        <v>28</v>
      </c>
      <c r="C8" t="s">
        <v>44</v>
      </c>
      <c r="D8" t="s">
        <v>46</v>
      </c>
    </row>
    <row r="9" spans="1:4" x14ac:dyDescent="0.2">
      <c r="A9" s="4">
        <v>8</v>
      </c>
      <c r="B9" t="s">
        <v>29</v>
      </c>
      <c r="C9" t="s">
        <v>44</v>
      </c>
      <c r="D9" t="s">
        <v>46</v>
      </c>
    </row>
    <row r="10" spans="1:4" x14ac:dyDescent="0.2">
      <c r="A10" s="4">
        <v>9</v>
      </c>
      <c r="B10" t="s">
        <v>30</v>
      </c>
      <c r="C10" t="s">
        <v>43</v>
      </c>
      <c r="D10" t="s">
        <v>43</v>
      </c>
    </row>
    <row r="11" spans="1:4" x14ac:dyDescent="0.2">
      <c r="A11" s="4">
        <v>10</v>
      </c>
      <c r="B11" t="s">
        <v>31</v>
      </c>
      <c r="C11" t="s">
        <v>43</v>
      </c>
      <c r="D11" t="s">
        <v>43</v>
      </c>
    </row>
    <row r="13" spans="1:4" x14ac:dyDescent="0.2">
      <c r="B13" s="1" t="s">
        <v>47</v>
      </c>
      <c r="C13">
        <f>COUNTIF(C2:C11, "Sim")</f>
        <v>6</v>
      </c>
    </row>
    <row r="14" spans="1:4" x14ac:dyDescent="0.2">
      <c r="B14" s="1" t="s">
        <v>48</v>
      </c>
      <c r="C14">
        <f>COUNTIF(D2:D11, "Sim")</f>
        <v>4</v>
      </c>
    </row>
    <row r="15" spans="1:4" x14ac:dyDescent="0.2">
      <c r="B15" s="2" t="s">
        <v>19</v>
      </c>
      <c r="C15" s="3">
        <f>C14/C13</f>
        <v>0.66666666666666663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85FC-8C91-6544-A879-F6189129893A}">
  <dimension ref="A1:E6"/>
  <sheetViews>
    <sheetView zoomScale="150" zoomScaleNormal="150" workbookViewId="0">
      <selection activeCell="B2" sqref="B2:B4"/>
    </sheetView>
  </sheetViews>
  <sheetFormatPr baseColWidth="10" defaultRowHeight="16" x14ac:dyDescent="0.2"/>
  <cols>
    <col min="1" max="1" width="10" style="4" customWidth="1"/>
    <col min="2" max="5" width="18.33203125" customWidth="1"/>
  </cols>
  <sheetData>
    <row r="1" spans="1:5" s="12" customFormat="1" ht="34" x14ac:dyDescent="0.2">
      <c r="A1" s="10" t="s">
        <v>0</v>
      </c>
      <c r="B1" s="11" t="s">
        <v>49</v>
      </c>
      <c r="C1" s="11" t="s">
        <v>51</v>
      </c>
      <c r="D1" s="11" t="s">
        <v>54</v>
      </c>
      <c r="E1" s="11" t="s">
        <v>55</v>
      </c>
    </row>
    <row r="2" spans="1:5" x14ac:dyDescent="0.2">
      <c r="A2" s="4">
        <v>1</v>
      </c>
      <c r="B2" t="s">
        <v>50</v>
      </c>
      <c r="C2">
        <v>5</v>
      </c>
      <c r="D2">
        <v>5</v>
      </c>
      <c r="E2" s="3">
        <f>D2/C2</f>
        <v>1</v>
      </c>
    </row>
    <row r="3" spans="1:5" x14ac:dyDescent="0.2">
      <c r="A3" s="4">
        <v>2</v>
      </c>
      <c r="B3" t="s">
        <v>52</v>
      </c>
      <c r="C3">
        <v>2</v>
      </c>
      <c r="D3">
        <v>1</v>
      </c>
      <c r="E3" s="3">
        <f>D3/C3</f>
        <v>0.5</v>
      </c>
    </row>
    <row r="4" spans="1:5" x14ac:dyDescent="0.2">
      <c r="A4" s="4">
        <v>3</v>
      </c>
      <c r="B4" t="s">
        <v>53</v>
      </c>
      <c r="C4">
        <v>8</v>
      </c>
      <c r="D4">
        <v>5</v>
      </c>
      <c r="E4" s="3">
        <f>D4/C4</f>
        <v>0.625</v>
      </c>
    </row>
    <row r="6" spans="1:5" x14ac:dyDescent="0.2">
      <c r="C6" s="1" t="s">
        <v>56</v>
      </c>
      <c r="D6" s="13">
        <f>SUM(D2:D4)/SUM(C2:C4)</f>
        <v>0.73333333333333328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AF9B-46EE-2B45-BD8D-7A64CC825ECC}">
  <dimension ref="A1:E12"/>
  <sheetViews>
    <sheetView zoomScale="140" zoomScaleNormal="140" workbookViewId="0">
      <selection activeCell="D14" sqref="D14"/>
    </sheetView>
  </sheetViews>
  <sheetFormatPr baseColWidth="10" defaultRowHeight="16" x14ac:dyDescent="0.2"/>
  <cols>
    <col min="1" max="1" width="9.5" style="4" customWidth="1"/>
    <col min="2" max="2" width="22.33203125" customWidth="1"/>
    <col min="3" max="3" width="19.33203125" customWidth="1"/>
    <col min="4" max="4" width="19" customWidth="1"/>
  </cols>
  <sheetData>
    <row r="1" spans="1:5" x14ac:dyDescent="0.2">
      <c r="A1" s="4" t="s">
        <v>0</v>
      </c>
      <c r="B1" t="s">
        <v>58</v>
      </c>
      <c r="C1" t="s">
        <v>59</v>
      </c>
      <c r="D1" t="s">
        <v>17</v>
      </c>
      <c r="E1" t="s">
        <v>66</v>
      </c>
    </row>
    <row r="2" spans="1:5" x14ac:dyDescent="0.2">
      <c r="A2" s="4">
        <v>1</v>
      </c>
      <c r="B2" t="s">
        <v>60</v>
      </c>
      <c r="C2">
        <v>8</v>
      </c>
      <c r="D2">
        <v>4</v>
      </c>
      <c r="E2">
        <f>(1 - (C2/C11)) * C9 + (1 - (D2/C12)) * C10</f>
        <v>-0.41333333333333327</v>
      </c>
    </row>
    <row r="3" spans="1:5" x14ac:dyDescent="0.2">
      <c r="A3" s="4">
        <v>2</v>
      </c>
      <c r="B3" t="s">
        <v>61</v>
      </c>
      <c r="C3">
        <v>2</v>
      </c>
      <c r="D3">
        <v>1</v>
      </c>
      <c r="E3">
        <f>(1 - (C3/C11)) * C9 + (1 - (D3/C12)) * C10</f>
        <v>0.64666666666666672</v>
      </c>
    </row>
    <row r="8" spans="1:5" x14ac:dyDescent="0.2">
      <c r="A8" s="5" t="s">
        <v>62</v>
      </c>
    </row>
    <row r="9" spans="1:5" x14ac:dyDescent="0.2">
      <c r="A9" s="4" t="s">
        <v>57</v>
      </c>
      <c r="B9" t="s">
        <v>59</v>
      </c>
      <c r="C9" s="3">
        <v>0.3</v>
      </c>
    </row>
    <row r="10" spans="1:5" x14ac:dyDescent="0.2">
      <c r="A10" s="4" t="s">
        <v>63</v>
      </c>
      <c r="B10" t="s">
        <v>17</v>
      </c>
      <c r="C10" s="3">
        <v>0.7</v>
      </c>
    </row>
    <row r="11" spans="1:5" x14ac:dyDescent="0.2">
      <c r="A11" s="4" t="s">
        <v>64</v>
      </c>
      <c r="B11" t="s">
        <v>59</v>
      </c>
      <c r="C11">
        <v>5</v>
      </c>
    </row>
    <row r="12" spans="1:5" x14ac:dyDescent="0.2">
      <c r="A12" s="4" t="s">
        <v>65</v>
      </c>
      <c r="B12" t="s">
        <v>17</v>
      </c>
      <c r="C1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A671-4989-6143-9845-CD02097C1CE8}">
  <dimension ref="A1:E6"/>
  <sheetViews>
    <sheetView tabSelected="1" topLeftCell="C1" zoomScale="170" zoomScaleNormal="170" workbookViewId="0">
      <selection activeCell="D7" sqref="D7"/>
    </sheetView>
  </sheetViews>
  <sheetFormatPr baseColWidth="10" defaultRowHeight="16" x14ac:dyDescent="0.2"/>
  <cols>
    <col min="3" max="3" width="21.1640625" customWidth="1"/>
    <col min="4" max="4" width="30.5" bestFit="1" customWidth="1"/>
  </cols>
  <sheetData>
    <row r="1" spans="1:5" x14ac:dyDescent="0.2">
      <c r="A1" t="s">
        <v>0</v>
      </c>
      <c r="B1" t="s">
        <v>1</v>
      </c>
      <c r="C1" t="s">
        <v>67</v>
      </c>
      <c r="D1" t="s">
        <v>68</v>
      </c>
      <c r="E1" t="s">
        <v>69</v>
      </c>
    </row>
    <row r="2" spans="1:5" x14ac:dyDescent="0.2">
      <c r="A2">
        <v>1</v>
      </c>
      <c r="B2" t="s">
        <v>3</v>
      </c>
      <c r="C2" s="14">
        <v>45658.416666666664</v>
      </c>
      <c r="D2" s="14">
        <v>45658.75</v>
      </c>
      <c r="E2">
        <f>D2-C2</f>
        <v>0.33333333333575865</v>
      </c>
    </row>
    <row r="3" spans="1:5" x14ac:dyDescent="0.2">
      <c r="A3">
        <v>2</v>
      </c>
      <c r="B3" t="s">
        <v>4</v>
      </c>
      <c r="C3" s="14">
        <v>45658.416666666664</v>
      </c>
      <c r="D3" s="14">
        <v>45662.375</v>
      </c>
      <c r="E3">
        <f t="shared" ref="E3:E4" si="0">D3-C3</f>
        <v>3.9583333333357587</v>
      </c>
    </row>
    <row r="4" spans="1:5" x14ac:dyDescent="0.2">
      <c r="A4">
        <v>3</v>
      </c>
      <c r="B4" t="s">
        <v>5</v>
      </c>
      <c r="C4" s="14">
        <v>45658.416666666664</v>
      </c>
      <c r="D4" s="14">
        <v>45660.291666666664</v>
      </c>
      <c r="E4">
        <f t="shared" si="0"/>
        <v>1.875</v>
      </c>
    </row>
    <row r="6" spans="1:5" x14ac:dyDescent="0.2">
      <c r="C6" s="2" t="s">
        <v>70</v>
      </c>
      <c r="D6">
        <f>AVERAGE(E2:E4)</f>
        <v>2.0555555555571723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Bugs em Prod</vt:lpstr>
      <vt:lpstr>Taxa de Reteste</vt:lpstr>
      <vt:lpstr>Custo dos Bugs</vt:lpstr>
      <vt:lpstr>Cobertura de Automação</vt:lpstr>
      <vt:lpstr>Cobertura de Testes de US</vt:lpstr>
      <vt:lpstr>QR</vt:lpstr>
      <vt:lpstr>Tempo de Correção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de Lima Costa</dc:creator>
  <cp:lastModifiedBy>Julio Cesar de Lima Costa</cp:lastModifiedBy>
  <dcterms:created xsi:type="dcterms:W3CDTF">2025-07-05T21:00:23Z</dcterms:created>
  <dcterms:modified xsi:type="dcterms:W3CDTF">2025-07-06T01:37:39Z</dcterms:modified>
</cp:coreProperties>
</file>